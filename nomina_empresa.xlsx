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ómina Junio 2026" sheetId="1" state="visible" r:id="rId1"/>
    <sheet xmlns:r="http://schemas.openxmlformats.org/officeDocument/2006/relationships" name="Resumen Gerenc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18" customWidth="1" min="4" max="4"/>
    <col width="15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</cols>
  <sheetData>
    <row r="1">
      <c r="A1" s="1" t="inlineStr">
        <is>
          <t>Documento</t>
        </is>
      </c>
      <c r="B1" s="1" t="inlineStr">
        <is>
          <t>Nombre</t>
        </is>
      </c>
      <c r="C1" s="1" t="inlineStr">
        <is>
          <t>Cargo</t>
        </is>
      </c>
      <c r="D1" s="1" t="inlineStr">
        <is>
          <t>Salario</t>
        </is>
      </c>
      <c r="E1" s="1" t="inlineStr">
        <is>
          <t>Horas Extras</t>
        </is>
      </c>
      <c r="F1" s="1" t="inlineStr">
        <is>
          <t>Auxilio Transporte</t>
        </is>
      </c>
      <c r="G1" s="1" t="inlineStr">
        <is>
          <t>Valor Hora</t>
        </is>
      </c>
      <c r="H1" s="1" t="inlineStr">
        <is>
          <t>Valor Hora Extra</t>
        </is>
      </c>
      <c r="I1" s="1" t="inlineStr">
        <is>
          <t>Total Horas Extras</t>
        </is>
      </c>
      <c r="J1" s="1" t="inlineStr">
        <is>
          <t>Devengado</t>
        </is>
      </c>
      <c r="K1" s="1" t="inlineStr">
        <is>
          <t>Salud</t>
        </is>
      </c>
      <c r="L1" s="1" t="inlineStr">
        <is>
          <t>Pensión</t>
        </is>
      </c>
      <c r="M1" s="1" t="inlineStr">
        <is>
          <t>Neto a Pagar</t>
        </is>
      </c>
    </row>
    <row r="2">
      <c r="A2" s="2" t="inlineStr">
        <is>
          <t>1012345678</t>
        </is>
      </c>
      <c r="B2" s="2" t="inlineStr">
        <is>
          <t>Carlos Martínez</t>
        </is>
      </c>
      <c r="C2" s="2" t="inlineStr">
        <is>
          <t>Desarrollador</t>
        </is>
      </c>
      <c r="D2" s="3" t="n">
        <v>2500000</v>
      </c>
      <c r="E2" s="2" t="n">
        <v>15</v>
      </c>
      <c r="F2" s="3" t="n">
        <v>200000</v>
      </c>
      <c r="G2" s="3" t="n">
        <v>10416.66666666667</v>
      </c>
      <c r="H2" s="3" t="n">
        <v>13020.83333333333</v>
      </c>
      <c r="I2" s="3" t="n">
        <v>195312.5</v>
      </c>
      <c r="J2" s="3" t="n">
        <v>2895312.5</v>
      </c>
      <c r="K2" s="3" t="n">
        <v>115812.5</v>
      </c>
      <c r="L2" s="3" t="n">
        <v>115812.5</v>
      </c>
      <c r="M2" s="3" t="n">
        <v>2663687.5</v>
      </c>
    </row>
    <row r="3">
      <c r="A3" s="2" t="inlineStr">
        <is>
          <t>1023456789</t>
        </is>
      </c>
      <c r="B3" s="2" t="inlineStr">
        <is>
          <t>Laura Gómez</t>
        </is>
      </c>
      <c r="C3" s="2" t="inlineStr">
        <is>
          <t>Analista QA</t>
        </is>
      </c>
      <c r="D3" s="3" t="n">
        <v>2800000</v>
      </c>
      <c r="E3" s="2" t="n">
        <v>10</v>
      </c>
      <c r="F3" s="3" t="n">
        <v>200000</v>
      </c>
      <c r="G3" s="3" t="n">
        <v>11666.66666666667</v>
      </c>
      <c r="H3" s="3" t="n">
        <v>14583.33333333333</v>
      </c>
      <c r="I3" s="3" t="n">
        <v>145833.3333333333</v>
      </c>
      <c r="J3" s="3" t="n">
        <v>3145833.333333333</v>
      </c>
      <c r="K3" s="3" t="n">
        <v>125833.3333333333</v>
      </c>
      <c r="L3" s="3" t="n">
        <v>125833.3333333333</v>
      </c>
      <c r="M3" s="3" t="n">
        <v>2894166.666666667</v>
      </c>
    </row>
    <row r="4">
      <c r="A4" s="2" t="inlineStr">
        <is>
          <t>1034567890</t>
        </is>
      </c>
      <c r="B4" s="2" t="inlineStr">
        <is>
          <t>Juan Rodríguez</t>
        </is>
      </c>
      <c r="C4" s="2" t="inlineStr">
        <is>
          <t>Diseñador</t>
        </is>
      </c>
      <c r="D4" s="3" t="n">
        <v>2200000</v>
      </c>
      <c r="E4" s="2" t="n">
        <v>20</v>
      </c>
      <c r="F4" s="3" t="n">
        <v>200000</v>
      </c>
      <c r="G4" s="3" t="n">
        <v>9166.666666666666</v>
      </c>
      <c r="H4" s="3" t="n">
        <v>11458.33333333333</v>
      </c>
      <c r="I4" s="3" t="n">
        <v>229166.6666666666</v>
      </c>
      <c r="J4" s="3" t="n">
        <v>2629166.666666667</v>
      </c>
      <c r="K4" s="3" t="n">
        <v>105166.6666666667</v>
      </c>
      <c r="L4" s="3" t="n">
        <v>105166.6666666667</v>
      </c>
      <c r="M4" s="3" t="n">
        <v>2418833.333333333</v>
      </c>
    </row>
    <row r="5">
      <c r="A5" s="2" t="inlineStr">
        <is>
          <t>1045678901</t>
        </is>
      </c>
      <c r="B5" s="2" t="inlineStr">
        <is>
          <t>Ana López</t>
        </is>
      </c>
      <c r="C5" s="2" t="inlineStr">
        <is>
          <t>Scrum Master</t>
        </is>
      </c>
      <c r="D5" s="3" t="n">
        <v>3500000</v>
      </c>
      <c r="E5" s="2" t="n">
        <v>5</v>
      </c>
      <c r="F5" s="3" t="n">
        <v>0</v>
      </c>
      <c r="G5" s="3" t="n">
        <v>14583.33333333333</v>
      </c>
      <c r="H5" s="3" t="n">
        <v>18229.16666666667</v>
      </c>
      <c r="I5" s="3" t="n">
        <v>91145.83333333334</v>
      </c>
      <c r="J5" s="3" t="n">
        <v>3591145.833333333</v>
      </c>
      <c r="K5" s="3" t="n">
        <v>143645.8333333333</v>
      </c>
      <c r="L5" s="3" t="n">
        <v>143645.8333333333</v>
      </c>
      <c r="M5" s="3" t="n">
        <v>3303854.166666667</v>
      </c>
    </row>
    <row r="6">
      <c r="A6" s="2" t="inlineStr">
        <is>
          <t>1056789012</t>
        </is>
      </c>
      <c r="B6" s="2" t="inlineStr">
        <is>
          <t>Pedro García</t>
        </is>
      </c>
      <c r="C6" s="2" t="inlineStr">
        <is>
          <t>DevOps</t>
        </is>
      </c>
      <c r="D6" s="3" t="n">
        <v>3200000</v>
      </c>
      <c r="E6" s="2" t="n">
        <v>12</v>
      </c>
      <c r="F6" s="3" t="n">
        <v>0</v>
      </c>
      <c r="G6" s="3" t="n">
        <v>13333.33333333333</v>
      </c>
      <c r="H6" s="3" t="n">
        <v>16666.66666666667</v>
      </c>
      <c r="I6" s="3" t="n">
        <v>200000</v>
      </c>
      <c r="J6" s="3" t="n">
        <v>3400000</v>
      </c>
      <c r="K6" s="3" t="n">
        <v>136000</v>
      </c>
      <c r="L6" s="3" t="n">
        <v>136000</v>
      </c>
      <c r="M6" s="3" t="n">
        <v>3128000</v>
      </c>
    </row>
    <row r="7">
      <c r="A7" s="2" t="inlineStr">
        <is>
          <t>1067890123</t>
        </is>
      </c>
      <c r="B7" s="2" t="inlineStr">
        <is>
          <t>Diana Torres</t>
        </is>
      </c>
      <c r="C7" s="2" t="inlineStr">
        <is>
          <t>FullStack</t>
        </is>
      </c>
      <c r="D7" s="3" t="n">
        <v>2900000</v>
      </c>
      <c r="E7" s="2" t="n">
        <v>18</v>
      </c>
      <c r="F7" s="3" t="n">
        <v>0</v>
      </c>
      <c r="G7" s="3" t="n">
        <v>12083.33333333333</v>
      </c>
      <c r="H7" s="3" t="n">
        <v>15104.16666666667</v>
      </c>
      <c r="I7" s="3" t="n">
        <v>271875</v>
      </c>
      <c r="J7" s="3" t="n">
        <v>3171875</v>
      </c>
      <c r="K7" s="3" t="n">
        <v>126875</v>
      </c>
      <c r="L7" s="3" t="n">
        <v>126875</v>
      </c>
      <c r="M7" s="3" t="n">
        <v>2918125</v>
      </c>
    </row>
    <row r="8">
      <c r="A8" s="2" t="inlineStr">
        <is>
          <t>1078901234</t>
        </is>
      </c>
      <c r="B8" s="2" t="inlineStr">
        <is>
          <t>Luis Ramírez</t>
        </is>
      </c>
      <c r="C8" s="2" t="inlineStr">
        <is>
          <t>Analista Datos</t>
        </is>
      </c>
      <c r="D8" s="3" t="n">
        <v>2600000</v>
      </c>
      <c r="E8" s="2" t="n">
        <v>8</v>
      </c>
      <c r="F8" s="3" t="n">
        <v>200000</v>
      </c>
      <c r="G8" s="3" t="n">
        <v>10833.33333333333</v>
      </c>
      <c r="H8" s="3" t="n">
        <v>13541.66666666667</v>
      </c>
      <c r="I8" s="3" t="n">
        <v>108333.3333333333</v>
      </c>
      <c r="J8" s="3" t="n">
        <v>2908333.333333333</v>
      </c>
      <c r="K8" s="3" t="n">
        <v>116333.3333333333</v>
      </c>
      <c r="L8" s="3" t="n">
        <v>116333.3333333333</v>
      </c>
      <c r="M8" s="3" t="n">
        <v>2675666.666666667</v>
      </c>
    </row>
    <row r="9">
      <c r="A9" s="2" t="inlineStr">
        <is>
          <t>1089012345</t>
        </is>
      </c>
      <c r="B9" s="2" t="inlineStr">
        <is>
          <t>María Herrera</t>
        </is>
      </c>
      <c r="C9" s="2" t="inlineStr">
        <is>
          <t>Backend</t>
        </is>
      </c>
      <c r="D9" s="3" t="n">
        <v>3100000</v>
      </c>
      <c r="E9" s="2" t="n">
        <v>14</v>
      </c>
      <c r="F9" s="3" t="n">
        <v>0</v>
      </c>
      <c r="G9" s="3" t="n">
        <v>12916.66666666667</v>
      </c>
      <c r="H9" s="3" t="n">
        <v>16145.83333333333</v>
      </c>
      <c r="I9" s="3" t="n">
        <v>226041.6666666667</v>
      </c>
      <c r="J9" s="3" t="n">
        <v>3326041.666666667</v>
      </c>
      <c r="K9" s="3" t="n">
        <v>133041.6666666667</v>
      </c>
      <c r="L9" s="3" t="n">
        <v>133041.6666666667</v>
      </c>
      <c r="M9" s="3" t="n">
        <v>3059958.333333333</v>
      </c>
    </row>
    <row r="10">
      <c r="A10" s="2" t="inlineStr">
        <is>
          <t>1090123456</t>
        </is>
      </c>
      <c r="B10" s="2" t="inlineStr">
        <is>
          <t>Andrés Castro</t>
        </is>
      </c>
      <c r="C10" s="2" t="inlineStr">
        <is>
          <t>Frontend</t>
        </is>
      </c>
      <c r="D10" s="3" t="n">
        <v>2400000</v>
      </c>
      <c r="E10" s="2" t="n">
        <v>22</v>
      </c>
      <c r="F10" s="3" t="n">
        <v>200000</v>
      </c>
      <c r="G10" s="3" t="n">
        <v>10000</v>
      </c>
      <c r="H10" s="3" t="n">
        <v>12500</v>
      </c>
      <c r="I10" s="3" t="n">
        <v>275000</v>
      </c>
      <c r="J10" s="3" t="n">
        <v>2875000</v>
      </c>
      <c r="K10" s="3" t="n">
        <v>115000</v>
      </c>
      <c r="L10" s="3" t="n">
        <v>115000</v>
      </c>
      <c r="M10" s="3" t="n">
        <v>2645000</v>
      </c>
    </row>
    <row r="11">
      <c r="A11" s="2" t="inlineStr">
        <is>
          <t>1101234567</t>
        </is>
      </c>
      <c r="B11" s="2" t="inlineStr">
        <is>
          <t>Valentina Morales</t>
        </is>
      </c>
      <c r="C11" s="2" t="inlineStr">
        <is>
          <t>Project Manager</t>
        </is>
      </c>
      <c r="D11" s="3" t="n">
        <v>3800000</v>
      </c>
      <c r="E11" s="2" t="n">
        <v>0</v>
      </c>
      <c r="F11" s="3" t="n">
        <v>0</v>
      </c>
      <c r="G11" s="3" t="n">
        <v>15833.33333333333</v>
      </c>
      <c r="H11" s="3" t="n">
        <v>19791.66666666667</v>
      </c>
      <c r="I11" s="3" t="n">
        <v>0</v>
      </c>
      <c r="J11" s="3" t="n">
        <v>3800000</v>
      </c>
      <c r="K11" s="3" t="n">
        <v>152000</v>
      </c>
      <c r="L11" s="3" t="n">
        <v>152000</v>
      </c>
      <c r="M11" s="3" t="n">
        <v>3496000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</cols>
  <sheetData>
    <row r="1">
      <c r="A1" s="4" t="inlineStr">
        <is>
          <t>RESUMEN GERENCIAL</t>
        </is>
      </c>
    </row>
    <row r="3">
      <c r="A3" s="1" t="inlineStr">
        <is>
          <t>INDICADOR</t>
        </is>
      </c>
      <c r="B3" s="1" t="inlineStr">
        <is>
          <t>VALOR</t>
        </is>
      </c>
    </row>
    <row r="4">
      <c r="A4" s="2" t="inlineStr">
        <is>
          <t>Total Nómina</t>
        </is>
      </c>
      <c r="B4" s="5">
        <f>SUM('Nómina Junio 2026'!M2:M11)</f>
        <v/>
      </c>
    </row>
    <row r="5">
      <c r="A5" s="2" t="inlineStr">
        <is>
          <t>Promedio Salarial</t>
        </is>
      </c>
      <c r="B5" s="5">
        <f>AVERAGE('Nómina Junio 2026'!D2:D11)</f>
        <v/>
      </c>
    </row>
    <row r="6">
      <c r="A6" s="2" t="inlineStr">
        <is>
          <t>Mayor Salario</t>
        </is>
      </c>
      <c r="B6" s="5">
        <f>MAX('Nómina Junio 2026'!D2:D11)</f>
        <v/>
      </c>
    </row>
    <row r="7">
      <c r="A7" s="2" t="inlineStr">
        <is>
          <t>Menor Salario</t>
        </is>
      </c>
      <c r="B7" s="5">
        <f>MIN('Nómina Junio 2026'!D2:D11)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2026-06-30T12:38:40Z</dcterms:created>
  <dcterms:modified xmlns:dcterms="http://purl.org/dc/terms/" xmlns:xsi="http://www.w3.org/2001/XMLSchema-instance" xsi:type="dcterms:W3CDTF">2026-06-30T12:38:40Z</dcterms:modified>
</cp:coreProperties>
</file>